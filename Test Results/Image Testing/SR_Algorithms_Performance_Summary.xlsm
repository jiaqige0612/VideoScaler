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iaqi\Downloads\"/>
    </mc:Choice>
  </mc:AlternateContent>
  <xr:revisionPtr revIDLastSave="0" documentId="8_{CF987997-7F0B-41F1-B8E6-FDB461E5D406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1" i="3" l="1"/>
  <c r="U11" i="3"/>
  <c r="W11" i="3"/>
  <c r="P11" i="3"/>
  <c r="O11" i="3"/>
  <c r="Q11" i="3"/>
  <c r="W10" i="3"/>
  <c r="V10" i="3"/>
  <c r="U10" i="3"/>
  <c r="J10" i="3"/>
  <c r="I10" i="3"/>
  <c r="H10" i="3"/>
  <c r="J11" i="3"/>
  <c r="I11" i="3"/>
  <c r="H11" i="3"/>
  <c r="V13" i="3"/>
  <c r="U13" i="3"/>
  <c r="W13" i="3"/>
  <c r="V12" i="3"/>
  <c r="U12" i="3"/>
  <c r="W12" i="3"/>
  <c r="P13" i="3"/>
  <c r="O13" i="3"/>
  <c r="Q13" i="3"/>
  <c r="P12" i="3"/>
  <c r="O12" i="3"/>
  <c r="Q12" i="3"/>
  <c r="I13" i="3"/>
  <c r="H13" i="3"/>
  <c r="J13" i="3"/>
  <c r="I12" i="3"/>
  <c r="H12" i="3"/>
  <c r="J12" i="3"/>
  <c r="U6" i="3"/>
  <c r="V6" i="3"/>
  <c r="W6" i="3"/>
  <c r="W16" i="3"/>
  <c r="V16" i="3"/>
  <c r="U16" i="3"/>
  <c r="I8" i="3"/>
  <c r="H8" i="3"/>
  <c r="J8" i="3"/>
  <c r="H7" i="3"/>
  <c r="I7" i="3"/>
  <c r="J7" i="3"/>
  <c r="V15" i="3"/>
  <c r="U15" i="3"/>
  <c r="W15" i="3"/>
  <c r="W14" i="3"/>
  <c r="U14" i="3"/>
  <c r="V14" i="3"/>
  <c r="W4" i="3"/>
  <c r="V4" i="3"/>
  <c r="U4" i="3"/>
  <c r="V5" i="3"/>
  <c r="U5" i="3"/>
  <c r="W5" i="3"/>
  <c r="P7" i="3"/>
  <c r="O7" i="3"/>
  <c r="Q7" i="3"/>
  <c r="O8" i="3"/>
  <c r="Q8" i="3"/>
  <c r="P8" i="3"/>
  <c r="C16" i="3"/>
  <c r="B16" i="3"/>
  <c r="D16" i="3"/>
  <c r="W7" i="3"/>
  <c r="U7" i="3"/>
  <c r="V7" i="3"/>
  <c r="W8" i="3"/>
  <c r="V8" i="3"/>
  <c r="U8" i="3"/>
  <c r="C15" i="3"/>
  <c r="B15" i="3"/>
  <c r="D15" i="3"/>
  <c r="D14" i="3"/>
  <c r="C14" i="3"/>
  <c r="B14" i="3"/>
  <c r="J6" i="3"/>
  <c r="H6" i="3"/>
  <c r="I6" i="3"/>
  <c r="J16" i="3"/>
  <c r="H16" i="3"/>
  <c r="I16" i="3"/>
  <c r="I15" i="3"/>
  <c r="H15" i="3"/>
  <c r="J15" i="3"/>
  <c r="J14" i="3"/>
  <c r="I14" i="3"/>
  <c r="H14" i="3"/>
  <c r="J4" i="3"/>
  <c r="I4" i="3"/>
  <c r="H4" i="3"/>
  <c r="J5" i="3"/>
  <c r="H5" i="3"/>
  <c r="I5" i="3"/>
  <c r="Q6" i="3"/>
  <c r="O6" i="3"/>
  <c r="P6" i="3"/>
  <c r="O16" i="3"/>
  <c r="P16" i="3"/>
  <c r="Q16" i="3"/>
  <c r="O14" i="3"/>
  <c r="P14" i="3"/>
  <c r="Q14" i="3"/>
  <c r="P15" i="3"/>
  <c r="O15" i="3"/>
  <c r="P10" i="3"/>
  <c r="O10" i="3"/>
  <c r="Q10" i="3"/>
  <c r="P4" i="3"/>
  <c r="P5" i="3"/>
  <c r="P3" i="3"/>
  <c r="O3" i="3"/>
  <c r="Q3" i="3"/>
  <c r="O4" i="3"/>
  <c r="Q4" i="3"/>
  <c r="O5" i="3"/>
  <c r="Q5" i="3"/>
  <c r="D13" i="3"/>
  <c r="C13" i="3"/>
  <c r="B13" i="3"/>
  <c r="D12" i="3"/>
  <c r="C12" i="3"/>
  <c r="B12" i="3"/>
  <c r="D11" i="3"/>
  <c r="C11" i="3"/>
  <c r="B11" i="3"/>
  <c r="D10" i="3"/>
  <c r="C10" i="3"/>
  <c r="B10" i="3"/>
  <c r="D9" i="3"/>
  <c r="C9" i="3"/>
  <c r="B9" i="3"/>
  <c r="D8" i="3"/>
  <c r="C8" i="3"/>
  <c r="B8" i="3"/>
  <c r="D7" i="3"/>
  <c r="C7" i="3"/>
  <c r="B7" i="3"/>
  <c r="D6" i="3"/>
  <c r="C6" i="3"/>
  <c r="B6" i="3"/>
  <c r="D5" i="3"/>
  <c r="C5" i="3"/>
  <c r="B5" i="3"/>
  <c r="D4" i="3"/>
  <c r="C4" i="3"/>
  <c r="B4" i="3"/>
  <c r="D3" i="3"/>
  <c r="C3" i="3"/>
  <c r="B3" i="3"/>
</calcChain>
</file>

<file path=xl/sharedStrings.xml><?xml version="1.0" encoding="utf-8"?>
<sst xmlns="http://schemas.openxmlformats.org/spreadsheetml/2006/main" count="82" uniqueCount="23">
  <si>
    <t>Method</t>
  </si>
  <si>
    <t>PSNR (dB)</t>
  </si>
  <si>
    <t>Execution Time (s)</t>
  </si>
  <si>
    <t>Own Bicubic</t>
  </si>
  <si>
    <t>CV2 BICUBIC</t>
  </si>
  <si>
    <t>LANCZOS from DTCWT library</t>
  </si>
  <si>
    <t>SSIM</t>
  </si>
  <si>
    <t>Wavelet Lanczos</t>
  </si>
  <si>
    <t>Local Structure</t>
  </si>
  <si>
    <t>SRGAN</t>
  </si>
  <si>
    <t>Own NEDI （MATLAB)</t>
  </si>
  <si>
    <t>Sobel Operator based (sobel bilinear)</t>
  </si>
  <si>
    <t>Own improved NEDI (Python) (CannyBicubic)</t>
  </si>
  <si>
    <t>Own Improved NEDI (MATLAB)(Cannybicubic)</t>
  </si>
  <si>
    <t>Sobel final ZigZag Suppression (canny edge and sobel threshold)</t>
  </si>
  <si>
    <t>Picture 0853</t>
  </si>
  <si>
    <t>Picture 0882</t>
  </si>
  <si>
    <t>Picture 0801</t>
  </si>
  <si>
    <t>Wavelet Zero Padding</t>
  </si>
  <si>
    <t>DWT with SWT</t>
  </si>
  <si>
    <t>DWT with NEDI</t>
  </si>
  <si>
    <t>Picture 0815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</si>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</sst>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Fon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281ED-5B90-4597-BD80-B69DEB602457}">
  <dimension ref="A1:W16"/>
  <sheetViews>
    <sheetView tabSelected="1" zoomScale="82" workbookViewId="0">
      <selection activeCell="S26" sqref="S26"/>
    </sheetView>
  </sheetViews>
  <sheetFormatPr defaultRowHeight="14.5" x14ac:dyDescent="0.35"/>
  <sheetData>
    <row r="1" spans="1:23" x14ac:dyDescent="0.35">
      <c r="A1" s="3" t="s">
        <v>15</v>
      </c>
      <c r="B1" s="3"/>
      <c r="C1" s="3"/>
      <c r="D1" s="3"/>
      <c r="E1" s="3"/>
      <c r="F1" s="3"/>
      <c r="G1" s="3" t="s">
        <v>16</v>
      </c>
      <c r="H1" s="3"/>
      <c r="I1" s="3"/>
      <c r="J1" s="3"/>
      <c r="K1" s="3"/>
      <c r="L1" s="3"/>
      <c r="M1" s="3"/>
      <c r="N1" s="3" t="s">
        <v>17</v>
      </c>
      <c r="O1" s="3"/>
      <c r="P1" s="3"/>
      <c r="Q1" s="3"/>
      <c r="R1" s="3"/>
      <c r="S1" s="3"/>
      <c r="T1" s="3" t="s">
        <v>21</v>
      </c>
    </row>
    <row r="2" spans="1:23" x14ac:dyDescent="0.35">
      <c r="A2" t="s">
        <v>0</v>
      </c>
      <c r="B2" t="s">
        <v>1</v>
      </c>
      <c r="C2" t="s">
        <v>6</v>
      </c>
      <c r="D2" t="s">
        <v>2</v>
      </c>
      <c r="G2" t="s">
        <v>0</v>
      </c>
      <c r="H2" t="s">
        <v>1</v>
      </c>
      <c r="I2" t="s">
        <v>6</v>
      </c>
      <c r="J2" t="s">
        <v>2</v>
      </c>
      <c r="N2" t="s">
        <v>0</v>
      </c>
      <c r="O2" t="s">
        <v>1</v>
      </c>
      <c r="P2" t="s">
        <v>6</v>
      </c>
      <c r="Q2" t="s">
        <v>2</v>
      </c>
      <c r="T2" t="s">
        <v>0</v>
      </c>
      <c r="U2" t="s">
        <v>1</v>
      </c>
      <c r="V2" t="s">
        <v>6</v>
      </c>
      <c r="W2" t="s">
        <v>2</v>
      </c>
    </row>
    <row r="3" spans="1:23" s="1" customFormat="1" x14ac:dyDescent="0.35">
      <c r="A3" s="1" t="s">
        <v>3</v>
      </c>
      <c r="B3" s="1">
        <f>27.717085063023</f>
        <v>27.717085063022999</v>
      </c>
      <c r="C3" s="1">
        <f>0.8615117</f>
        <v>0.86151169999999999</v>
      </c>
      <c r="D3" s="1">
        <f>1127.222</f>
        <v>1127.222</v>
      </c>
      <c r="G3" s="1" t="s">
        <v>3</v>
      </c>
      <c r="H3" s="1" t="s">
        <v>22</v>
      </c>
      <c r="I3" s="1" t="s">
        <v>22</v>
      </c>
      <c r="J3" s="1" t="s">
        <v>22</v>
      </c>
      <c r="N3" s="1" t="s">
        <v>3</v>
      </c>
      <c r="O3" s="1">
        <f>24.368427496577</f>
        <v>24.368427496576999</v>
      </c>
      <c r="P3" s="1">
        <f>0.6814191</f>
        <v>0.68141910000000006</v>
      </c>
      <c r="Q3" s="1">
        <f>1176.19</f>
        <v>1176.19</v>
      </c>
      <c r="T3" s="1" t="s">
        <v>3</v>
      </c>
      <c r="U3" s="1" t="s">
        <v>22</v>
      </c>
      <c r="V3" s="1" t="s">
        <v>22</v>
      </c>
      <c r="W3" s="1" t="s">
        <v>22</v>
      </c>
    </row>
    <row r="4" spans="1:23" x14ac:dyDescent="0.35">
      <c r="A4" t="s">
        <v>4</v>
      </c>
      <c r="B4">
        <f>31.1333081359518</f>
        <v>31.1333081359518</v>
      </c>
      <c r="C4">
        <f>0.90213495</f>
        <v>0.90213494999999999</v>
      </c>
      <c r="D4">
        <f>0.21</f>
        <v>0.21</v>
      </c>
      <c r="G4" t="s">
        <v>4</v>
      </c>
      <c r="H4">
        <f>31.5734955580749</f>
        <v>31.573495558074899</v>
      </c>
      <c r="I4">
        <f>0.9284079</f>
        <v>0.92840789999999995</v>
      </c>
      <c r="J4">
        <f>0.303</f>
        <v>0.30299999999999999</v>
      </c>
      <c r="N4" t="s">
        <v>4</v>
      </c>
      <c r="O4">
        <f>27.8196100518835</f>
        <v>27.819610051883501</v>
      </c>
      <c r="P4">
        <f>0.79219794</f>
        <v>0.79219793999999999</v>
      </c>
      <c r="Q4">
        <f>0.225</f>
        <v>0.22500000000000001</v>
      </c>
      <c r="T4" t="s">
        <v>4</v>
      </c>
      <c r="U4">
        <f>31.8638663788861</f>
        <v>31.863866378886101</v>
      </c>
      <c r="V4">
        <f>0.8926954</f>
        <v>0.89269540000000003</v>
      </c>
      <c r="W4">
        <f>0.22</f>
        <v>0.22</v>
      </c>
    </row>
    <row r="5" spans="1:23" x14ac:dyDescent="0.35">
      <c r="A5" t="s">
        <v>5</v>
      </c>
      <c r="B5">
        <f>31.3134974541676</f>
        <v>31.313497454167599</v>
      </c>
      <c r="C5">
        <f>0.9045551</f>
        <v>0.90455509999999995</v>
      </c>
      <c r="D5">
        <f>20.163</f>
        <v>20.163</v>
      </c>
      <c r="G5" t="s">
        <v>5</v>
      </c>
      <c r="H5">
        <f>31.6855473268675</f>
        <v>31.6855473268675</v>
      </c>
      <c r="I5">
        <f>0.92969304</f>
        <v>0.92969303999999997</v>
      </c>
      <c r="J5">
        <f>16.876</f>
        <v>16.876000000000001</v>
      </c>
      <c r="N5" t="s">
        <v>5</v>
      </c>
      <c r="O5">
        <f>27.9471481480072</f>
        <v>27.947148148007201</v>
      </c>
      <c r="P5">
        <f>0.7980879</f>
        <v>0.79808789999999996</v>
      </c>
      <c r="Q5">
        <f>17.113</f>
        <v>17.113</v>
      </c>
      <c r="T5" t="s">
        <v>5</v>
      </c>
      <c r="U5">
        <f>32.0060851097511</f>
        <v>32.006085109751098</v>
      </c>
      <c r="V5">
        <f>0.89560515</f>
        <v>0.89560514999999996</v>
      </c>
      <c r="W5">
        <f>16.776</f>
        <v>16.776</v>
      </c>
    </row>
    <row r="6" spans="1:23" x14ac:dyDescent="0.35">
      <c r="A6" t="s">
        <v>7</v>
      </c>
      <c r="B6">
        <f>30.313038727736</f>
        <v>30.313038727736</v>
      </c>
      <c r="C6">
        <f>0.8838672</f>
        <v>0.88386719999999996</v>
      </c>
      <c r="D6">
        <f>58.389</f>
        <v>58.389000000000003</v>
      </c>
      <c r="G6" t="s">
        <v>7</v>
      </c>
      <c r="H6">
        <f>30.3948180227985</f>
        <v>30.3948180227985</v>
      </c>
      <c r="I6">
        <f>0.9037853</f>
        <v>0.90378530000000001</v>
      </c>
      <c r="J6">
        <f>49.279</f>
        <v>49.279000000000003</v>
      </c>
      <c r="N6" t="s">
        <v>7</v>
      </c>
      <c r="O6">
        <f>27.1409817562667</f>
        <v>27.140981756266701</v>
      </c>
      <c r="P6">
        <f>0.7574597</f>
        <v>0.75745969999999996</v>
      </c>
      <c r="Q6">
        <f>64.881</f>
        <v>64.881</v>
      </c>
      <c r="T6" t="s">
        <v>7</v>
      </c>
      <c r="U6">
        <f>30.9413718066313</f>
        <v>30.941371806631299</v>
      </c>
      <c r="V6">
        <f>0.8682634</f>
        <v>0.86826340000000002</v>
      </c>
      <c r="W6">
        <f>51.661</f>
        <v>51.661000000000001</v>
      </c>
    </row>
    <row r="7" spans="1:23" x14ac:dyDescent="0.35">
      <c r="A7" t="s">
        <v>10</v>
      </c>
      <c r="B7">
        <f>30.2792583805676</f>
        <v>30.279258380567601</v>
      </c>
      <c r="C7">
        <f>0.88487005</f>
        <v>0.88487004999999996</v>
      </c>
      <c r="D7">
        <f>77.0511</f>
        <v>77.051100000000005</v>
      </c>
      <c r="G7" t="s">
        <v>10</v>
      </c>
      <c r="H7">
        <f>30.2553</f>
        <v>30.255299999999998</v>
      </c>
      <c r="I7">
        <f>0.94781</f>
        <v>0.94781000000000004</v>
      </c>
      <c r="J7">
        <f>136.104</f>
        <v>136.10400000000001</v>
      </c>
      <c r="N7" t="s">
        <v>10</v>
      </c>
      <c r="O7">
        <f>26.2967</f>
        <v>26.296700000000001</v>
      </c>
      <c r="P7">
        <f>0.75304</f>
        <v>0.75304000000000004</v>
      </c>
      <c r="Q7">
        <f>129.8777</f>
        <v>129.8777</v>
      </c>
      <c r="T7" t="s">
        <v>10</v>
      </c>
      <c r="U7">
        <f>30.5074</f>
        <v>30.507400000000001</v>
      </c>
      <c r="V7">
        <f>0.9389</f>
        <v>0.93889999999999996</v>
      </c>
      <c r="W7">
        <f>71.4306</f>
        <v>71.430599999999998</v>
      </c>
    </row>
    <row r="8" spans="1:23" x14ac:dyDescent="0.35">
      <c r="A8" t="s">
        <v>13</v>
      </c>
      <c r="B8">
        <f>30.643255229602</f>
        <v>30.643255229602001</v>
      </c>
      <c r="C8">
        <f>0.8967846</f>
        <v>0.89678460000000004</v>
      </c>
      <c r="D8">
        <f>4.523</f>
        <v>4.5229999999999997</v>
      </c>
      <c r="G8" t="s">
        <v>13</v>
      </c>
      <c r="H8">
        <f>31.0425</f>
        <v>31.0425</v>
      </c>
      <c r="I8">
        <f>0.95491</f>
        <v>0.95491000000000004</v>
      </c>
      <c r="J8">
        <f>3.3331</f>
        <v>3.3331</v>
      </c>
      <c r="N8" t="s">
        <v>13</v>
      </c>
      <c r="O8">
        <f>27.3336</f>
        <v>27.333600000000001</v>
      </c>
      <c r="P8">
        <f>0.79959</f>
        <v>0.79959000000000002</v>
      </c>
      <c r="Q8">
        <f>6.3172</f>
        <v>6.3171999999999997</v>
      </c>
      <c r="T8" t="s">
        <v>13</v>
      </c>
      <c r="U8">
        <f>31.3765</f>
        <v>31.3765</v>
      </c>
      <c r="V8">
        <f>0.9489</f>
        <v>0.94889999999999997</v>
      </c>
      <c r="W8">
        <f>4.4549</f>
        <v>4.4549000000000003</v>
      </c>
    </row>
    <row r="9" spans="1:23" x14ac:dyDescent="0.35">
      <c r="A9" t="s">
        <v>12</v>
      </c>
      <c r="B9">
        <f>30.632825454616</f>
        <v>30.632825454616</v>
      </c>
      <c r="C9">
        <f>0.89625144</f>
        <v>0.89625144000000001</v>
      </c>
      <c r="D9">
        <f>0.228+2.752+0.244+0.228+14.06</f>
        <v>17.512</v>
      </c>
      <c r="G9" t="s">
        <v>12</v>
      </c>
      <c r="N9" t="s">
        <v>12</v>
      </c>
      <c r="T9" t="s">
        <v>12</v>
      </c>
    </row>
    <row r="10" spans="1:23" s="1" customFormat="1" x14ac:dyDescent="0.35">
      <c r="A10" s="1" t="s">
        <v>8</v>
      </c>
      <c r="B10" s="1">
        <f>27.675436866733</f>
        <v>27.675436866733001</v>
      </c>
      <c r="C10" s="1">
        <f>0.8610465</f>
        <v>0.86104650000000005</v>
      </c>
      <c r="D10" s="1">
        <f>806.917+207.543</f>
        <v>1014.46</v>
      </c>
      <c r="G10" s="1" t="s">
        <v>8</v>
      </c>
      <c r="H10" s="1">
        <f>26.1610409326097</f>
        <v>26.161040932609701</v>
      </c>
      <c r="I10" s="1">
        <f>0.8888572</f>
        <v>0.88885720000000001</v>
      </c>
      <c r="J10" s="1">
        <f>1052.629</f>
        <v>1052.6289999999999</v>
      </c>
      <c r="N10" s="1" t="s">
        <v>8</v>
      </c>
      <c r="O10" s="1">
        <f>24.2071872759001</f>
        <v>24.2071872759001</v>
      </c>
      <c r="P10" s="1">
        <f>0.6818146</f>
        <v>0.68181460000000005</v>
      </c>
      <c r="Q10" s="1">
        <f>1039.513</f>
        <v>1039.5129999999999</v>
      </c>
      <c r="T10" s="1" t="s">
        <v>8</v>
      </c>
      <c r="U10" s="1">
        <f>27.0258992204853</f>
        <v>27.0258992204853</v>
      </c>
      <c r="V10" s="1">
        <f>0.83184284</f>
        <v>0.83184283999999997</v>
      </c>
      <c r="W10" s="1">
        <f>965.811</f>
        <v>965.81100000000004</v>
      </c>
    </row>
    <row r="11" spans="1:23" x14ac:dyDescent="0.35">
      <c r="A11" t="s">
        <v>9</v>
      </c>
      <c r="B11">
        <f>32.7319054492971</f>
        <v>32.731905449297102</v>
      </c>
      <c r="C11">
        <f>0.91084594</f>
        <v>0.91084593999999997</v>
      </c>
      <c r="D11">
        <f>3.18</f>
        <v>3.18</v>
      </c>
      <c r="G11" t="s">
        <v>9</v>
      </c>
      <c r="H11">
        <f>32.95</f>
        <v>32.950000000000003</v>
      </c>
      <c r="I11">
        <f>0.911</f>
        <v>0.91100000000000003</v>
      </c>
      <c r="J11">
        <f>9.437</f>
        <v>9.4369999999999994</v>
      </c>
      <c r="N11" t="s">
        <v>9</v>
      </c>
      <c r="O11">
        <f>28.6654</f>
        <v>28.665400000000002</v>
      </c>
      <c r="P11">
        <f>0.8317</f>
        <v>0.83169999999999999</v>
      </c>
      <c r="Q11">
        <f>10.2958</f>
        <v>10.2958</v>
      </c>
      <c r="T11" t="s">
        <v>9</v>
      </c>
      <c r="U11">
        <f>32.9519</f>
        <v>32.951900000000002</v>
      </c>
      <c r="V11">
        <f>0.9031</f>
        <v>0.90310000000000001</v>
      </c>
      <c r="W11">
        <f>8.656</f>
        <v>8.6560000000000006</v>
      </c>
    </row>
    <row r="12" spans="1:23" x14ac:dyDescent="0.35">
      <c r="A12" t="s">
        <v>11</v>
      </c>
      <c r="B12">
        <f>28.360666014324</f>
        <v>28.360666014324</v>
      </c>
      <c r="C12">
        <f>0.8707985</f>
        <v>0.87079850000000003</v>
      </c>
      <c r="D12">
        <f>27.359+0.216+11.02+3.096+0.198+0.195+0.201+1.562+4.079+0.002+7.808</f>
        <v>55.736000000000004</v>
      </c>
      <c r="G12" t="s">
        <v>11</v>
      </c>
      <c r="H12">
        <f>28.8413771328951</f>
        <v>28.841377132895101</v>
      </c>
      <c r="I12">
        <f>0.90693855</f>
        <v>0.90693855000000001</v>
      </c>
      <c r="J12">
        <f>0.885+3.06+2.965+11.354+6.691+28.606</f>
        <v>53.561</v>
      </c>
      <c r="N12" t="s">
        <v>11</v>
      </c>
      <c r="O12">
        <f>25.9546095070474</f>
        <v>25.954609507047401</v>
      </c>
      <c r="P12">
        <f>0.7204957</f>
        <v>0.72049569999999996</v>
      </c>
      <c r="Q12">
        <f>1.138+3.984+6.522+3.016+13.451+28.034</f>
        <v>56.144999999999996</v>
      </c>
      <c r="T12" t="s">
        <v>11</v>
      </c>
      <c r="U12">
        <f>29.4485693968985</f>
        <v>29.448569396898499</v>
      </c>
      <c r="V12">
        <f>0.85568815</f>
        <v>0.85568814999999998</v>
      </c>
      <c r="W12">
        <f>1.544+3.199+7.58+4.546+11.885+28.533</f>
        <v>57.286999999999999</v>
      </c>
    </row>
    <row r="13" spans="1:23" x14ac:dyDescent="0.35">
      <c r="A13" t="s">
        <v>14</v>
      </c>
      <c r="B13">
        <f>27.0951673035194</f>
        <v>27.0951673035194</v>
      </c>
      <c r="C13">
        <f>0.85031193</f>
        <v>0.85031193000000005</v>
      </c>
      <c r="D13">
        <f>0.533+3.141+5.994+23.577+7.265+29.915</f>
        <v>70.425000000000011</v>
      </c>
      <c r="G13" t="s">
        <v>14</v>
      </c>
      <c r="H13">
        <f>25.9516860171672</f>
        <v>25.951686017167201</v>
      </c>
      <c r="I13">
        <f>0.87344575</f>
        <v>0.87344575000000002</v>
      </c>
      <c r="J13">
        <f>0.86+7.523+7.909+4.546+23.772+29.341</f>
        <v>73.950999999999993</v>
      </c>
      <c r="N13" t="s">
        <v>14</v>
      </c>
      <c r="O13">
        <f>24.184693926987</f>
        <v>24.184693926986998</v>
      </c>
      <c r="P13">
        <f>0.6560121</f>
        <v>0.65601209999999999</v>
      </c>
      <c r="Q13">
        <f>0.923+12.914+6.206+3.057+40.218+29.294</f>
        <v>92.611999999999995</v>
      </c>
      <c r="T13" t="s">
        <v>14</v>
      </c>
      <c r="U13">
        <f>29.5037885736547</f>
        <v>29.503788573654699</v>
      </c>
      <c r="V13">
        <f>0.8571928</f>
        <v>0.85719279999999998</v>
      </c>
      <c r="W13">
        <f>0.795+3.857+7.032+4.375+11.903+28.425</f>
        <v>56.387</v>
      </c>
    </row>
    <row r="14" spans="1:23" x14ac:dyDescent="0.35">
      <c r="A14" t="s">
        <v>18</v>
      </c>
      <c r="B14">
        <f>28.735103099969</f>
        <v>28.735103099968999</v>
      </c>
      <c r="C14">
        <f>0.8601679</f>
        <v>0.86016789999999999</v>
      </c>
      <c r="D14">
        <f>0.23+0.217</f>
        <v>0.44700000000000001</v>
      </c>
      <c r="G14" t="s">
        <v>18</v>
      </c>
      <c r="H14">
        <f>28.162754702839</f>
        <v>28.162754702838999</v>
      </c>
      <c r="I14">
        <f>0.86668044</f>
        <v>0.86668044</v>
      </c>
      <c r="J14">
        <f>0.283+0.24</f>
        <v>0.52299999999999991</v>
      </c>
      <c r="N14" s="2" t="s">
        <v>18</v>
      </c>
      <c r="O14">
        <f>27.1840918969387</f>
        <v>27.1840918969387</v>
      </c>
      <c r="P14">
        <f>0.7630098</f>
        <v>0.76300979999999996</v>
      </c>
      <c r="Q14">
        <f>0.541</f>
        <v>0.54100000000000004</v>
      </c>
      <c r="T14" t="s">
        <v>18</v>
      </c>
      <c r="U14">
        <f>29.1129380830493</f>
        <v>29.112938083049301</v>
      </c>
      <c r="V14">
        <f xml:space="preserve"> 0.8195848</f>
        <v>0.8195848</v>
      </c>
      <c r="W14">
        <f>0.226+0.21</f>
        <v>0.436</v>
      </c>
    </row>
    <row r="15" spans="1:23" x14ac:dyDescent="0.35">
      <c r="A15" t="s">
        <v>19</v>
      </c>
      <c r="B15">
        <f>24.4152144388354</f>
        <v>24.415214438835399</v>
      </c>
      <c r="C15">
        <f>0.74838334</f>
        <v>0.74838333999999995</v>
      </c>
      <c r="D15">
        <f>0.459</f>
        <v>0.45900000000000002</v>
      </c>
      <c r="G15" t="s">
        <v>19</v>
      </c>
      <c r="H15">
        <f>21.6311334141994</f>
        <v>21.6311334141994</v>
      </c>
      <c r="I15">
        <f>0.6060669</f>
        <v>0.60606689999999996</v>
      </c>
      <c r="J15">
        <f>1.264</f>
        <v>1.264</v>
      </c>
      <c r="N15" t="s">
        <v>19</v>
      </c>
      <c r="O15">
        <f>21.3959954208696</f>
        <v>21.3959954208696</v>
      </c>
      <c r="P15">
        <f>0.47375724</f>
        <v>0.47375724000000002</v>
      </c>
      <c r="Q15">
        <v>0.80500000000000005</v>
      </c>
      <c r="T15" t="s">
        <v>19</v>
      </c>
      <c r="U15">
        <f>23.4896658794566</f>
        <v>23.489665879456599</v>
      </c>
      <c r="V15">
        <f>0.57067615</f>
        <v>0.57067615000000005</v>
      </c>
      <c r="W15">
        <f>0.922</f>
        <v>0.92200000000000004</v>
      </c>
    </row>
    <row r="16" spans="1:23" x14ac:dyDescent="0.35">
      <c r="A16" t="s">
        <v>20</v>
      </c>
      <c r="B16">
        <f>30.6696088057957</f>
        <v>30.669608805795701</v>
      </c>
      <c r="C16">
        <f>0.8904683</f>
        <v>0.89046829999999999</v>
      </c>
      <c r="D16">
        <f>730.882</f>
        <v>730.88199999999995</v>
      </c>
      <c r="G16" t="s">
        <v>20</v>
      </c>
      <c r="H16">
        <f>30.7574772592155</f>
        <v>30.757477259215499</v>
      </c>
      <c r="I16">
        <f>0.91068953</f>
        <v>0.91068952999999997</v>
      </c>
      <c r="J16">
        <f>740.177</f>
        <v>740.17700000000002</v>
      </c>
      <c r="N16" t="s">
        <v>20</v>
      </c>
      <c r="O16">
        <f>27.3621801464422</f>
        <v>27.362180146442199</v>
      </c>
      <c r="P16">
        <f>0.76786643</f>
        <v>0.76786642999999999</v>
      </c>
      <c r="Q16">
        <f>737.822</f>
        <v>737.822</v>
      </c>
      <c r="T16" t="s">
        <v>20</v>
      </c>
      <c r="U16">
        <f>31.215568224325</f>
        <v>31.215568224325001</v>
      </c>
      <c r="V16">
        <f>0.8749111</f>
        <v>0.87491110000000005</v>
      </c>
      <c r="W16">
        <f>735.126</f>
        <v>735.12599999999998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Jiaqi Ge</dc:creator>
  <cp:lastModifiedBy>Jiaqi Ge</cp:lastModifiedBy>
  <dcterms:created xsi:type="dcterms:W3CDTF">2023-06-21T14:50:22Z</dcterms:created>
  <dcterms:modified xsi:type="dcterms:W3CDTF">2023-07-07T00:56:28Z</dcterms:modified>
</cp:coreProperties>
</file>