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iaqi\Downloads\"/>
    </mc:Choice>
  </mc:AlternateContent>
  <xr:revisionPtr revIDLastSave="0" documentId="8_{47B5ADC5-2E01-44F7-8269-85034CB7D918}" xr6:coauthVersionLast="47" xr6:coauthVersionMax="47" xr10:uidLastSave="{00000000-0000-0000-0000-000000000000}"/>
  <bookViews>
    <workbookView xWindow="0" yWindow="4110" windowWidth="19200" windowHeight="11170" activeTab="1" xr2:uid="{00000000-000D-0000-FFFF-FFFF00000000}"/>
  </bookViews>
  <sheets>
    <sheet name="Queen's Tower" sheetId="1" r:id="rId1"/>
    <sheet name="Bird Image" sheetId="2" r:id="rId2"/>
    <sheet name="Shee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" l="1"/>
  <c r="C11" i="2"/>
  <c r="C10" i="2"/>
  <c r="C9" i="2"/>
  <c r="C8" i="2"/>
  <c r="C7" i="2"/>
  <c r="C5" i="2"/>
  <c r="C4" i="2"/>
  <c r="C3" i="2"/>
  <c r="C2" i="2"/>
  <c r="C12" i="2"/>
  <c r="E12" i="2"/>
  <c r="D12" i="2"/>
  <c r="B12" i="2"/>
  <c r="E13" i="2"/>
  <c r="E9" i="2"/>
  <c r="F10" i="2"/>
  <c r="D10" i="2"/>
  <c r="B10" i="2"/>
  <c r="F8" i="2"/>
  <c r="B8" i="2"/>
  <c r="F9" i="2"/>
  <c r="B9" i="2"/>
  <c r="D9" i="2"/>
  <c r="D8" i="2"/>
  <c r="D7" i="2"/>
  <c r="D11" i="2"/>
  <c r="F11" i="2"/>
  <c r="B11" i="2"/>
  <c r="E11" i="2"/>
  <c r="E5" i="2"/>
  <c r="E2" i="2"/>
  <c r="D6" i="2"/>
  <c r="F6" i="2"/>
  <c r="B6" i="2"/>
  <c r="F7" i="2"/>
  <c r="B7" i="2"/>
  <c r="D13" i="2"/>
  <c r="C13" i="2"/>
  <c r="B13" i="2"/>
  <c r="D5" i="2"/>
  <c r="F5" i="2"/>
  <c r="B5" i="2"/>
  <c r="F2" i="2"/>
  <c r="B2" i="2"/>
  <c r="D2" i="2"/>
  <c r="B3" i="2"/>
  <c r="F3" i="2"/>
  <c r="D3" i="2"/>
  <c r="F4" i="2"/>
  <c r="B4" i="2"/>
  <c r="D4" i="2"/>
  <c r="D8" i="1"/>
  <c r="F8" i="1"/>
  <c r="B8" i="1"/>
  <c r="C8" i="1"/>
  <c r="D9" i="1"/>
  <c r="F9" i="1"/>
  <c r="B9" i="1"/>
  <c r="C9" i="1"/>
  <c r="D10" i="1"/>
  <c r="C10" i="1"/>
  <c r="F10" i="1"/>
  <c r="B10" i="1"/>
  <c r="D5" i="1"/>
  <c r="F5" i="1"/>
  <c r="B5" i="1"/>
  <c r="C5" i="1"/>
  <c r="C4" i="1"/>
  <c r="F4" i="1"/>
  <c r="B4" i="1"/>
  <c r="D4" i="1"/>
  <c r="C2" i="1"/>
  <c r="C3" i="1"/>
  <c r="F3" i="1"/>
  <c r="B3" i="1"/>
  <c r="D3" i="1"/>
  <c r="F2" i="1"/>
  <c r="B2" i="1"/>
  <c r="D2" i="1"/>
</calcChain>
</file>

<file path=xl/sharedStrings.xml><?xml version="1.0" encoding="utf-8"?>
<sst xmlns="http://schemas.openxmlformats.org/spreadsheetml/2006/main" count="47" uniqueCount="33">
  <si>
    <t>Method</t>
  </si>
  <si>
    <t>PSNR (dB)</t>
  </si>
  <si>
    <t>Execution Time (s)</t>
  </si>
  <si>
    <t>Own Bicubic</t>
  </si>
  <si>
    <t>CV2 BICUBIC</t>
  </si>
  <si>
    <t>LANCZOS from DTCWT library</t>
  </si>
  <si>
    <t>from 525 *525 pixels</t>
  </si>
  <si>
    <t>to 2100 * 2100</t>
  </si>
  <si>
    <t>luma PSNR</t>
  </si>
  <si>
    <t>SSIM</t>
  </si>
  <si>
    <t>Wavelet Lanczos</t>
  </si>
  <si>
    <t>better if 2096</t>
  </si>
  <si>
    <t>and 524</t>
  </si>
  <si>
    <t>Local Structure</t>
  </si>
  <si>
    <t>SRGAN</t>
  </si>
  <si>
    <t>Edge</t>
  </si>
  <si>
    <t>EDI</t>
  </si>
  <si>
    <t>*2 result</t>
  </si>
  <si>
    <t>*4 result, without count time for padding</t>
  </si>
  <si>
    <t>padding and remove padding time 1.614+5.46+0.21</t>
  </si>
  <si>
    <t>final</t>
  </si>
  <si>
    <t>only output rectangualer image somehow</t>
  </si>
  <si>
    <t>from 339 * 510 pixels</t>
  </si>
  <si>
    <t>to 1356 * 2040</t>
  </si>
  <si>
    <t>NEDI</t>
  </si>
  <si>
    <t>Sobel Edge Directed</t>
  </si>
  <si>
    <t>work better with grayscale image</t>
  </si>
  <si>
    <t>Own NEDI （MATLAB)</t>
  </si>
  <si>
    <t>how many operations per pixel per clock cycle</t>
  </si>
  <si>
    <t>* by pixels</t>
  </si>
  <si>
    <t>ALM</t>
  </si>
  <si>
    <t>Own Improved NEDI (MATLAB)</t>
  </si>
  <si>
    <t>Own improved NEDI (Python)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</si>
</sst>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1"/>
  <sheetViews>
    <sheetView workbookViewId="0">
      <selection activeCell="H9" sqref="H9"/>
    </sheetView>
  </sheetViews>
  <sheetFormatPr defaultRowHeight="14.5" x14ac:dyDescent="0.35"/>
  <sheetData>
    <row r="1" spans="1:10" x14ac:dyDescent="0.35">
      <c r="A1" t="s">
        <v>0</v>
      </c>
      <c r="B1" t="s">
        <v>1</v>
      </c>
      <c r="C1" t="s">
        <v>9</v>
      </c>
      <c r="D1" t="s">
        <v>2</v>
      </c>
      <c r="F1" t="s">
        <v>8</v>
      </c>
      <c r="H1" t="s">
        <v>6</v>
      </c>
      <c r="J1" t="s">
        <v>11</v>
      </c>
    </row>
    <row r="2" spans="1:10" x14ac:dyDescent="0.35">
      <c r="A2" t="s">
        <v>3</v>
      </c>
      <c r="B2">
        <f>24.9144923098298</f>
        <v>24.9144923098298</v>
      </c>
      <c r="C2">
        <f>0.423035280986518</f>
        <v>0.42303528098651799</v>
      </c>
      <c r="D2">
        <f>1331.132</f>
        <v>1331.1320000000001</v>
      </c>
      <c r="F2">
        <f>24.4760282256758</f>
        <v>24.476028225675801</v>
      </c>
      <c r="H2" t="s">
        <v>7</v>
      </c>
      <c r="J2" t="s">
        <v>12</v>
      </c>
    </row>
    <row r="3" spans="1:10" x14ac:dyDescent="0.35">
      <c r="A3" t="s">
        <v>4</v>
      </c>
      <c r="B3">
        <f>27.0807247465759</f>
        <v>27.0807247465759</v>
      </c>
      <c r="C3">
        <f>0.494512612878057</f>
        <v>0.49451261287805698</v>
      </c>
      <c r="D3">
        <f>0.196</f>
        <v>0.19600000000000001</v>
      </c>
      <c r="F3">
        <f>27.0690269722647</f>
        <v>27.069026972264702</v>
      </c>
    </row>
    <row r="4" spans="1:10" x14ac:dyDescent="0.35">
      <c r="A4" t="s">
        <v>5</v>
      </c>
      <c r="B4">
        <f>27.0739918850461</f>
        <v>27.073991885046102</v>
      </c>
      <c r="C4">
        <f>0.449801353690702</f>
        <v>0.44980135369070201</v>
      </c>
      <c r="D4">
        <f>18.918</f>
        <v>18.917999999999999</v>
      </c>
      <c r="F4">
        <f>25.5250992982127</f>
        <v>25.525099298212702</v>
      </c>
    </row>
    <row r="5" spans="1:10" x14ac:dyDescent="0.35">
      <c r="A5" t="s">
        <v>10</v>
      </c>
      <c r="B5">
        <f>26.4380647433726</f>
        <v>26.4380647433726</v>
      </c>
      <c r="C5">
        <f>0.450312453952958</f>
        <v>0.45031245395295799</v>
      </c>
      <c r="D5">
        <f>60.678</f>
        <v>60.677999999999997</v>
      </c>
      <c r="F5">
        <f>23.5534909055202</f>
        <v>23.553490905520199</v>
      </c>
    </row>
    <row r="6" spans="1:10" x14ac:dyDescent="0.35">
      <c r="A6" t="s">
        <v>15</v>
      </c>
    </row>
    <row r="7" spans="1:10" x14ac:dyDescent="0.35">
      <c r="A7" t="s">
        <v>16</v>
      </c>
    </row>
    <row r="8" spans="1:10" x14ac:dyDescent="0.35">
      <c r="A8" t="s">
        <v>13</v>
      </c>
      <c r="B8">
        <f>24.9393926254196</f>
        <v>24.9393926254196</v>
      </c>
      <c r="C8">
        <f>0.476926358325644</f>
        <v>0.47692635832564401</v>
      </c>
      <c r="D8">
        <f>228.472+908.793</f>
        <v>1137.2650000000001</v>
      </c>
      <c r="F8">
        <f>23.419704949573</f>
        <v>23.419704949572999</v>
      </c>
      <c r="G8" t="s">
        <v>20</v>
      </c>
      <c r="H8" t="s">
        <v>21</v>
      </c>
    </row>
    <row r="9" spans="1:10" x14ac:dyDescent="0.35">
      <c r="A9" t="s">
        <v>13</v>
      </c>
      <c r="B9">
        <f>24.2860800711151</f>
        <v>24.286080071115101</v>
      </c>
      <c r="C9">
        <f>0.470045498909665</f>
        <v>0.47004549890966502</v>
      </c>
      <c r="D9">
        <f>344.238+246.271</f>
        <v>590.50900000000001</v>
      </c>
      <c r="F9">
        <f>22.917861796002</f>
        <v>22.917861796002001</v>
      </c>
      <c r="G9" t="s">
        <v>18</v>
      </c>
      <c r="H9" t="s">
        <v>19</v>
      </c>
    </row>
    <row r="10" spans="1:10" x14ac:dyDescent="0.35">
      <c r="A10" t="s">
        <v>13</v>
      </c>
      <c r="B10">
        <f>26.8077423807531</f>
        <v>26.807742380753101</v>
      </c>
      <c r="C10">
        <f>0.725109837246921</f>
        <v>0.72510983724692102</v>
      </c>
      <c r="D10">
        <f>344.238</f>
        <v>344.238</v>
      </c>
      <c r="F10">
        <f>25.140719527935</f>
        <v>25.140719527935001</v>
      </c>
      <c r="G10" t="s">
        <v>17</v>
      </c>
    </row>
    <row r="11" spans="1:10" x14ac:dyDescent="0.35">
      <c r="A11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9818-8E6F-4463-B149-A79A551B1773}">
  <dimension ref="A1:K18"/>
  <sheetViews>
    <sheetView tabSelected="1" zoomScale="85" workbookViewId="0">
      <selection activeCell="J8" sqref="J8"/>
    </sheetView>
  </sheetViews>
  <sheetFormatPr defaultRowHeight="14.5" x14ac:dyDescent="0.35"/>
  <cols>
    <col min="1" max="1" width="11.7265625" customWidth="1"/>
    <col min="5" max="5" width="8.54296875" customWidth="1"/>
  </cols>
  <sheetData>
    <row r="1" spans="1:8" x14ac:dyDescent="0.35">
      <c r="A1" t="s">
        <v>0</v>
      </c>
      <c r="B1" t="s">
        <v>1</v>
      </c>
      <c r="C1" t="s">
        <v>9</v>
      </c>
      <c r="D1" t="s">
        <v>2</v>
      </c>
      <c r="E1" t="s">
        <v>30</v>
      </c>
      <c r="F1" t="s">
        <v>8</v>
      </c>
      <c r="H1" t="s">
        <v>22</v>
      </c>
    </row>
    <row r="2" spans="1:8" x14ac:dyDescent="0.35">
      <c r="A2" t="s">
        <v>3</v>
      </c>
      <c r="B2">
        <f>27.717085063023</f>
        <v>27.717085063022999</v>
      </c>
      <c r="C2">
        <f>0.8615117</f>
        <v>0.86151169999999999</v>
      </c>
      <c r="D2">
        <f>1127.222</f>
        <v>1127.222</v>
      </c>
      <c r="E2">
        <f>10000</f>
        <v>10000</v>
      </c>
      <c r="F2">
        <f>28.1994212575875</f>
        <v>28.199421257587499</v>
      </c>
      <c r="H2" t="s">
        <v>23</v>
      </c>
    </row>
    <row r="3" spans="1:8" x14ac:dyDescent="0.35">
      <c r="A3" t="s">
        <v>4</v>
      </c>
      <c r="B3">
        <f>31.1333081359518</f>
        <v>31.1333081359518</v>
      </c>
      <c r="C3">
        <f>0.90213495</f>
        <v>0.90213494999999999</v>
      </c>
      <c r="D3">
        <f>0.21</f>
        <v>0.21</v>
      </c>
      <c r="F3">
        <f>31.5980170358808</f>
        <v>31.598017035880801</v>
      </c>
    </row>
    <row r="4" spans="1:8" x14ac:dyDescent="0.35">
      <c r="A4" t="s">
        <v>5</v>
      </c>
      <c r="B4">
        <f>31.3134974541676</f>
        <v>31.313497454167599</v>
      </c>
      <c r="C4">
        <f>0.9045551</f>
        <v>0.90455509999999995</v>
      </c>
      <c r="D4">
        <f>20.163</f>
        <v>20.163</v>
      </c>
      <c r="F4">
        <f>30.0560422820583</f>
        <v>30.0560422820583</v>
      </c>
    </row>
    <row r="5" spans="1:8" x14ac:dyDescent="0.35">
      <c r="A5" t="s">
        <v>10</v>
      </c>
      <c r="B5">
        <f>30.313038727736</f>
        <v>30.313038727736</v>
      </c>
      <c r="C5">
        <f>0.8838672</f>
        <v>0.88386719999999996</v>
      </c>
      <c r="D5">
        <f>58.389</f>
        <v>58.389000000000003</v>
      </c>
      <c r="E5">
        <f>50000</f>
        <v>50000</v>
      </c>
      <c r="F5">
        <f>28.1388311451604</f>
        <v>28.138831145160399</v>
      </c>
    </row>
    <row r="6" spans="1:8" x14ac:dyDescent="0.35">
      <c r="A6" t="s">
        <v>25</v>
      </c>
      <c r="B6">
        <f>18.3278931234379</f>
        <v>18.327893123437899</v>
      </c>
      <c r="C6">
        <f>0.682316</f>
        <v>0.68231600000000003</v>
      </c>
      <c r="D6">
        <f>10.626+35.25+3.161+0.936+7.268+2.51</f>
        <v>59.750999999999998</v>
      </c>
      <c r="F6">
        <f>19.3634651628166</f>
        <v>19.363465162816599</v>
      </c>
      <c r="H6" t="s">
        <v>26</v>
      </c>
    </row>
    <row r="7" spans="1:8" x14ac:dyDescent="0.35">
      <c r="A7" t="s">
        <v>24</v>
      </c>
      <c r="B7">
        <f>27.5093652175009</f>
        <v>27.5093652175009</v>
      </c>
      <c r="C7">
        <f>0.8547874</f>
        <v>0.85478739999999998</v>
      </c>
      <c r="D7">
        <f>828.441</f>
        <v>828.44100000000003</v>
      </c>
      <c r="F7">
        <f>28.4680535293272</f>
        <v>28.4680535293272</v>
      </c>
    </row>
    <row r="8" spans="1:8" x14ac:dyDescent="0.35">
      <c r="A8" t="s">
        <v>27</v>
      </c>
      <c r="B8">
        <f>30.2792583805676</f>
        <v>30.279258380567601</v>
      </c>
      <c r="C8">
        <f>0.88487005</f>
        <v>0.88487004999999996</v>
      </c>
      <c r="D8">
        <f>77.0511</f>
        <v>77.051100000000005</v>
      </c>
      <c r="F8">
        <f>30.8662193153651</f>
        <v>30.8662193153651</v>
      </c>
    </row>
    <row r="9" spans="1:8" x14ac:dyDescent="0.35">
      <c r="A9" t="s">
        <v>31</v>
      </c>
      <c r="B9">
        <f>30.643255229602</f>
        <v>30.643255229602001</v>
      </c>
      <c r="C9">
        <f>0.8967846</f>
        <v>0.89678460000000004</v>
      </c>
      <c r="D9">
        <f>4.523</f>
        <v>4.5229999999999997</v>
      </c>
      <c r="E9">
        <f>25000</f>
        <v>25000</v>
      </c>
      <c r="F9">
        <f>31.1501009585755</f>
        <v>31.1501009585755</v>
      </c>
    </row>
    <row r="10" spans="1:8" x14ac:dyDescent="0.35">
      <c r="A10" t="s">
        <v>32</v>
      </c>
      <c r="B10">
        <f>30.632825454616</f>
        <v>30.632825454616</v>
      </c>
      <c r="C10">
        <f>0.89625144</f>
        <v>0.89625144000000001</v>
      </c>
      <c r="D10">
        <f>0.228+2.752+0.244+0.228+14.06</f>
        <v>17.512</v>
      </c>
      <c r="F10">
        <f>30.5685619268501</f>
        <v>30.568561926850101</v>
      </c>
    </row>
    <row r="11" spans="1:8" x14ac:dyDescent="0.35">
      <c r="A11" t="s">
        <v>13</v>
      </c>
      <c r="B11">
        <f>27.675436866733</f>
        <v>27.675436866733001</v>
      </c>
      <c r="C11">
        <f>0.8610465</f>
        <v>0.86104650000000005</v>
      </c>
      <c r="D11">
        <f>806.917+207.543</f>
        <v>1014.46</v>
      </c>
      <c r="E11">
        <f>25000</f>
        <v>25000</v>
      </c>
      <c r="F11">
        <f>27.1931224815623</f>
        <v>27.193122481562298</v>
      </c>
    </row>
    <row r="12" spans="1:8" x14ac:dyDescent="0.35">
      <c r="A12" t="s">
        <v>14</v>
      </c>
      <c r="B12">
        <f>32.7319054492971</f>
        <v>32.731905449297102</v>
      </c>
      <c r="C12">
        <f>0.91084594</f>
        <v>0.91084593999999997</v>
      </c>
      <c r="D12">
        <f>3.18</f>
        <v>3.18</v>
      </c>
      <c r="E12">
        <f>200000</f>
        <v>200000</v>
      </c>
    </row>
    <row r="13" spans="1:8" s="1" customFormat="1" x14ac:dyDescent="0.35">
      <c r="A13" s="1" t="s">
        <v>14</v>
      </c>
      <c r="B13" s="1">
        <f>31.912607</f>
        <v>31.912607000000001</v>
      </c>
      <c r="C13" s="1">
        <f>0.89250445</f>
        <v>0.89250445</v>
      </c>
      <c r="D13" s="1">
        <f>3.18</f>
        <v>3.18</v>
      </c>
      <c r="E13" s="1">
        <f>200000</f>
        <v>200000</v>
      </c>
    </row>
    <row r="18" spans="10:11" x14ac:dyDescent="0.35">
      <c r="J18" t="s">
        <v>28</v>
      </c>
      <c r="K18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281ED-5B90-4597-BD80-B69DEB602457}">
  <dimension ref="A1"/>
  <sheetViews>
    <sheetView workbookViewId="0">
      <selection activeCell="A2" sqref="A2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Queen's Tower</vt:lpstr>
      <vt:lpstr>Bird Image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Jiaqi Ge</dc:creator>
  <cp:lastModifiedBy>Jiaqi Ge</cp:lastModifiedBy>
  <dcterms:created xsi:type="dcterms:W3CDTF">2023-06-21T14:50:22Z</dcterms:created>
  <dcterms:modified xsi:type="dcterms:W3CDTF">2023-06-26T08:21:40Z</dcterms:modified>
</cp:coreProperties>
</file>